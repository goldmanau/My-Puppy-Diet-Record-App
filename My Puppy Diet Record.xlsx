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t" sheetId="1" r:id="rId5"/>
    <sheet state="visible" name="DietSummary" sheetId="2" r:id="rId6"/>
    <sheet state="visible" name="CategoryList" sheetId="3" r:id="rId7"/>
    <sheet state="visible" name="Inventory" sheetId="4" r:id="rId8"/>
  </sheets>
  <definedNames>
    <definedName hidden="1" localSheetId="0" name="Z_62D5F94B_D756_4BED_98AB_8A8E82B0BFAB_.wvu.FilterData">Diet!$A$1:$I$1</definedName>
  </definedNames>
  <calcPr/>
  <customWorkbookViews>
    <customWorkbookView activeSheetId="0" maximized="1" windowHeight="0" windowWidth="0" guid="{62D5F94B-D756-4BED-98AB-8A8E82B0BFAB}" name="Group by Category"/>
  </customWorkbookViews>
</workbook>
</file>

<file path=xl/sharedStrings.xml><?xml version="1.0" encoding="utf-8"?>
<sst xmlns="http://schemas.openxmlformats.org/spreadsheetml/2006/main" count="82" uniqueCount="42">
  <si>
    <t>ID</t>
  </si>
  <si>
    <t>Date</t>
  </si>
  <si>
    <t>Time</t>
  </si>
  <si>
    <t>Category</t>
  </si>
  <si>
    <t>Item Name</t>
  </si>
  <si>
    <t>Amount</t>
  </si>
  <si>
    <t>Unit</t>
  </si>
  <si>
    <t>Remark</t>
  </si>
  <si>
    <t>Logged By</t>
  </si>
  <si>
    <t>Diet</t>
  </si>
  <si>
    <t>Dry Food</t>
  </si>
  <si>
    <t>tea spoon</t>
  </si>
  <si>
    <t>veg and carrot</t>
  </si>
  <si>
    <t>Dad</t>
  </si>
  <si>
    <t>snack</t>
  </si>
  <si>
    <t>pcs</t>
  </si>
  <si>
    <t>Medication</t>
  </si>
  <si>
    <t>Heartworm</t>
  </si>
  <si>
    <t>Tablet</t>
  </si>
  <si>
    <t>Reapply in 3 months later</t>
  </si>
  <si>
    <t>Sister</t>
  </si>
  <si>
    <t>Cup</t>
  </si>
  <si>
    <t>Meat</t>
  </si>
  <si>
    <t>7abe0bdf</t>
  </si>
  <si>
    <t>Excrete</t>
  </si>
  <si>
    <t>Walking-bo</t>
  </si>
  <si>
    <t>goldman.au168@gmail.com</t>
  </si>
  <si>
    <t>f4274723</t>
  </si>
  <si>
    <t>cup</t>
  </si>
  <si>
    <t>1eac74e5</t>
  </si>
  <si>
    <t>romaanau@gmail.com</t>
  </si>
  <si>
    <t>Category Name</t>
  </si>
  <si>
    <t>Icon</t>
  </si>
  <si>
    <t>Supplement</t>
  </si>
  <si>
    <t>Default Unit</t>
  </si>
  <si>
    <t>Side Food</t>
  </si>
  <si>
    <t>Snack</t>
  </si>
  <si>
    <t>Heatworm</t>
  </si>
  <si>
    <t>mg</t>
  </si>
  <si>
    <t>Probotic</t>
  </si>
  <si>
    <t>Home-bo</t>
  </si>
  <si>
    <t>Home-pu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</si>
</sst>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4" xfId="0" applyFont="1" applyNumberFormat="1"/>
    <xf borderId="0" fillId="0" fontId="2" numFmtId="165" xfId="0" applyFont="1" applyNumberFormat="1"/>
    <xf borderId="0" fillId="0" fontId="2" numFmtId="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" displayName="Table1" name="Table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i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5" width="13.63"/>
    <col customWidth="1" min="8" max="8" width="20.5"/>
    <col customWidth="1" min="9" max="9" width="13.63"/>
  </cols>
  <sheetData>
    <row r="1" ht="29.25" customHeight="1" collapsed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7.25" hidden="1" customHeight="1" outlineLevel="1">
      <c r="A2" s="5"/>
      <c r="B2" s="6"/>
      <c r="C2" s="7"/>
      <c r="D2" s="5"/>
      <c r="E2" s="5"/>
      <c r="F2" s="8"/>
      <c r="G2" s="5"/>
      <c r="H2" s="4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6.5" customHeight="1">
      <c r="A3" s="9">
        <v>3.0</v>
      </c>
      <c r="B3" s="10">
        <v>46127.0</v>
      </c>
      <c r="C3" s="11">
        <v>0.3333333333333333</v>
      </c>
      <c r="D3" s="9" t="s">
        <v>9</v>
      </c>
      <c r="E3" s="5" t="s">
        <v>10</v>
      </c>
      <c r="F3" s="12">
        <v>1.0</v>
      </c>
      <c r="G3" s="9" t="s">
        <v>11</v>
      </c>
      <c r="H3" s="5" t="s">
        <v>12</v>
      </c>
      <c r="I3" s="9" t="s">
        <v>13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>
        <v>4.0</v>
      </c>
      <c r="B4" s="10">
        <v>46127.0</v>
      </c>
      <c r="C4" s="11">
        <v>0.3333333333333333</v>
      </c>
      <c r="D4" s="9" t="s">
        <v>9</v>
      </c>
      <c r="E4" s="9" t="s">
        <v>14</v>
      </c>
      <c r="F4" s="12">
        <v>1.0</v>
      </c>
      <c r="G4" s="9" t="s">
        <v>15</v>
      </c>
      <c r="H4" s="4"/>
      <c r="I4" s="9" t="s">
        <v>13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>
        <v>6.0</v>
      </c>
      <c r="B5" s="10">
        <v>46127.0</v>
      </c>
      <c r="C5" s="11">
        <v>0.5</v>
      </c>
      <c r="D5" s="9" t="s">
        <v>16</v>
      </c>
      <c r="E5" s="9" t="s">
        <v>17</v>
      </c>
      <c r="F5" s="12">
        <v>1.0</v>
      </c>
      <c r="G5" s="9" t="s">
        <v>18</v>
      </c>
      <c r="H5" s="5" t="s">
        <v>19</v>
      </c>
      <c r="I5" s="9" t="s">
        <v>20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>
        <v>1.0</v>
      </c>
      <c r="B6" s="10">
        <v>46128.0</v>
      </c>
      <c r="C6" s="11">
        <v>0.375</v>
      </c>
      <c r="D6" s="9" t="s">
        <v>9</v>
      </c>
      <c r="E6" s="5" t="s">
        <v>10</v>
      </c>
      <c r="F6" s="12">
        <v>1.0</v>
      </c>
      <c r="G6" s="9" t="s">
        <v>21</v>
      </c>
      <c r="H6" s="4"/>
      <c r="I6" s="9" t="s">
        <v>13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>
        <v>2.0</v>
      </c>
      <c r="B7" s="10">
        <v>46128.0</v>
      </c>
      <c r="C7" s="11">
        <v>0.375</v>
      </c>
      <c r="D7" s="9" t="s">
        <v>9</v>
      </c>
      <c r="E7" s="9" t="s">
        <v>22</v>
      </c>
      <c r="F7" s="12">
        <v>1.0</v>
      </c>
      <c r="G7" s="9" t="s">
        <v>11</v>
      </c>
      <c r="H7" s="4"/>
      <c r="I7" s="9" t="s">
        <v>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23</v>
      </c>
      <c r="B8" s="6">
        <v>46130.0</v>
      </c>
      <c r="C8" s="7">
        <v>0.7351157407407407</v>
      </c>
      <c r="D8" s="5" t="s">
        <v>24</v>
      </c>
      <c r="E8" s="5" t="s">
        <v>25</v>
      </c>
      <c r="F8" s="8">
        <v>2.0</v>
      </c>
      <c r="G8" s="5" t="s">
        <v>2</v>
      </c>
      <c r="H8" s="4"/>
      <c r="I8" s="5" t="s">
        <v>26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 t="s">
        <v>27</v>
      </c>
      <c r="B9" s="6">
        <v>46130.0</v>
      </c>
      <c r="C9" s="7">
        <v>0.8228935185185186</v>
      </c>
      <c r="D9" s="5" t="s">
        <v>9</v>
      </c>
      <c r="E9" s="5" t="s">
        <v>10</v>
      </c>
      <c r="F9" s="8">
        <v>0.5</v>
      </c>
      <c r="G9" s="5" t="s">
        <v>28</v>
      </c>
      <c r="H9" s="4"/>
      <c r="I9" s="5" t="s">
        <v>26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 t="s">
        <v>29</v>
      </c>
      <c r="B10" s="6">
        <v>46130.0</v>
      </c>
      <c r="C10" s="7">
        <v>0.841400462962963</v>
      </c>
      <c r="D10" s="5" t="s">
        <v>9</v>
      </c>
      <c r="E10" s="5" t="s">
        <v>10</v>
      </c>
      <c r="F10" s="8">
        <v>0.5</v>
      </c>
      <c r="G10" s="5" t="s">
        <v>28</v>
      </c>
      <c r="H10" s="4"/>
      <c r="I10" s="5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/>
      <c r="B11" s="6"/>
      <c r="C11" s="7"/>
      <c r="D11" s="4"/>
      <c r="E11" s="4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/>
      <c r="B12" s="6"/>
      <c r="C12" s="7"/>
      <c r="D12" s="4"/>
      <c r="E12" s="4"/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/>
      <c r="B13" s="6"/>
      <c r="C13" s="7"/>
      <c r="D13" s="4"/>
      <c r="E13" s="4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6"/>
      <c r="C14" s="7"/>
      <c r="D14" s="4"/>
      <c r="E14" s="4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1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1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1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1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1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1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1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1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1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1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1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1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1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1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1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1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1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1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1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1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1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1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1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1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1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1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1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1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1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1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1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1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1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1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1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1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1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1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1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1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1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1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1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1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1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1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1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1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1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1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1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1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1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1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1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1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1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1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1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1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1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1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1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1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1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1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1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1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1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1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1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1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1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1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1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1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1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1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1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1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1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1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1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1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1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1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1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1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1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1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1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1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1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1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1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1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1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1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1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1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1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1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1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1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1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1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1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1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1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1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1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1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1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1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1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1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1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1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1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1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1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1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1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1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1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1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1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1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1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1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1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1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1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1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1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1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1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1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1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1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1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1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1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1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1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customSheetViews>
    <customSheetView guid="{62D5F94B-D756-4BED-98AB-8A8E82B0BFAB}" filter="1" showAutoFilter="1">
      <autoFilter ref="$A$1:$I$1"/>
    </customSheetView>
  </customSheetView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>IFERROR(__xludf.DUMMYFUNCTION("QUERY(Diet!A:Z, ""SELECT B, SUM(F) WHERE B IS NOT NULL AND E = 'Dry Food' AND B &gt;= date '""&amp;TEXT(TODAY()-7, ""yyyy-mm-dd"")&amp;""' GROUP BY B LABEL SUM(F) 'Total Amount'"", 1)"),"Date")</f>
        <v>Date</v>
      </c>
      <c r="B1" s="15" t="str">
        <f>IFERROR(__xludf.DUMMYFUNCTION("""COMPUTED_VALUE"""),"Total Amount")</f>
        <v>Total Amount</v>
      </c>
    </row>
    <row r="2">
      <c r="A2" s="14">
        <f>IFERROR(__xludf.DUMMYFUNCTION("""COMPUTED_VALUE"""),46127.0)</f>
        <v>46127</v>
      </c>
      <c r="B2" s="15">
        <f>IFERROR(__xludf.DUMMYFUNCTION("""COMPUTED_VALUE"""),1.0)</f>
        <v>1</v>
      </c>
    </row>
    <row r="3">
      <c r="A3" s="14">
        <f>IFERROR(__xludf.DUMMYFUNCTION("""COMPUTED_VALUE"""),46128.0)</f>
        <v>46128</v>
      </c>
      <c r="B3" s="15">
        <f>IFERROR(__xludf.DUMMYFUNCTION("""COMPUTED_VALUE"""),1.0)</f>
        <v>1</v>
      </c>
    </row>
    <row r="4">
      <c r="A4" s="14">
        <f>IFERROR(__xludf.DUMMYFUNCTION("""COMPUTED_VALUE"""),46130.0)</f>
        <v>46130</v>
      </c>
      <c r="B4" s="15">
        <f>IFERROR(__xludf.DUMMYFUNCTION("""COMPUTED_VALUE"""),1.0)</f>
        <v>1</v>
      </c>
    </row>
    <row r="5">
      <c r="A5" s="14"/>
      <c r="B5" s="15"/>
    </row>
    <row r="6">
      <c r="A6" s="14"/>
      <c r="B6" s="15"/>
    </row>
    <row r="7">
      <c r="A7" s="14"/>
      <c r="B7" s="15"/>
    </row>
    <row r="8">
      <c r="A8" s="14"/>
      <c r="B8" s="15"/>
    </row>
    <row r="9">
      <c r="A9" s="14"/>
      <c r="B9" s="15"/>
    </row>
    <row r="10">
      <c r="A10" s="14"/>
      <c r="B10" s="15"/>
    </row>
    <row r="11">
      <c r="A11" s="14"/>
      <c r="B11" s="15"/>
    </row>
    <row r="12">
      <c r="A12" s="14"/>
      <c r="B12" s="15"/>
    </row>
    <row r="13">
      <c r="A13" s="14"/>
      <c r="B13" s="15"/>
    </row>
    <row r="14">
      <c r="A14" s="14"/>
      <c r="B14" s="15"/>
    </row>
    <row r="15">
      <c r="A15" s="14"/>
      <c r="B15" s="15"/>
    </row>
    <row r="16">
      <c r="A16" s="14"/>
      <c r="B16" s="15"/>
    </row>
    <row r="17">
      <c r="A17" s="14"/>
      <c r="B17" s="15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14"/>
      <c r="B55" s="15"/>
    </row>
    <row r="56">
      <c r="A56" s="14"/>
      <c r="B56" s="15"/>
    </row>
    <row r="57">
      <c r="A57" s="14"/>
      <c r="B57" s="15"/>
    </row>
    <row r="58">
      <c r="A58" s="14"/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  <c r="B69" s="15"/>
    </row>
    <row r="70">
      <c r="A70" s="14"/>
      <c r="B70" s="15"/>
    </row>
    <row r="71">
      <c r="A71" s="14"/>
      <c r="B71" s="15"/>
    </row>
    <row r="72">
      <c r="A72" s="14"/>
      <c r="B72" s="15"/>
    </row>
    <row r="73">
      <c r="A73" s="14"/>
      <c r="B73" s="15"/>
    </row>
    <row r="74">
      <c r="A74" s="14"/>
      <c r="B74" s="15"/>
    </row>
    <row r="75">
      <c r="A75" s="14"/>
      <c r="B75" s="15"/>
    </row>
    <row r="76">
      <c r="A76" s="14"/>
      <c r="B76" s="15"/>
    </row>
    <row r="77">
      <c r="A77" s="14"/>
      <c r="B77" s="15"/>
    </row>
    <row r="78">
      <c r="A78" s="14"/>
      <c r="B78" s="15"/>
    </row>
    <row r="79">
      <c r="A79" s="14"/>
      <c r="B79" s="15"/>
    </row>
    <row r="80">
      <c r="A80" s="14"/>
      <c r="B80" s="15"/>
    </row>
    <row r="81">
      <c r="A81" s="14"/>
      <c r="B81" s="15"/>
    </row>
    <row r="82">
      <c r="A82" s="14"/>
      <c r="B82" s="15"/>
    </row>
    <row r="83">
      <c r="A83" s="14"/>
      <c r="B83" s="15"/>
    </row>
    <row r="84">
      <c r="A84" s="14"/>
      <c r="B84" s="15"/>
    </row>
    <row r="85">
      <c r="A85" s="14"/>
      <c r="B85" s="15"/>
    </row>
    <row r="86">
      <c r="A86" s="14"/>
      <c r="B86" s="15"/>
    </row>
    <row r="87">
      <c r="A87" s="14"/>
      <c r="B87" s="15"/>
    </row>
    <row r="88">
      <c r="A88" s="14"/>
      <c r="B88" s="15"/>
    </row>
    <row r="89">
      <c r="A89" s="14"/>
      <c r="B89" s="15"/>
    </row>
    <row r="90">
      <c r="A90" s="14"/>
      <c r="B90" s="15"/>
    </row>
    <row r="91">
      <c r="A91" s="14"/>
      <c r="B91" s="15"/>
    </row>
    <row r="92">
      <c r="A92" s="14"/>
      <c r="B92" s="15"/>
    </row>
    <row r="93">
      <c r="A93" s="14"/>
      <c r="B93" s="15"/>
    </row>
    <row r="94">
      <c r="A94" s="14"/>
      <c r="B94" s="15"/>
    </row>
    <row r="95">
      <c r="A95" s="14"/>
      <c r="B95" s="15"/>
    </row>
    <row r="96">
      <c r="A96" s="14"/>
      <c r="B96" s="15"/>
    </row>
    <row r="97">
      <c r="A97" s="14"/>
      <c r="B97" s="15"/>
    </row>
    <row r="98">
      <c r="A98" s="14"/>
      <c r="B98" s="15"/>
    </row>
    <row r="99">
      <c r="A99" s="14"/>
      <c r="B99" s="15"/>
    </row>
    <row r="100">
      <c r="A100" s="14"/>
      <c r="B100" s="15"/>
    </row>
    <row r="101">
      <c r="A101" s="14"/>
      <c r="B101" s="15"/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31</v>
      </c>
      <c r="B1" s="16" t="s">
        <v>32</v>
      </c>
    </row>
    <row r="2">
      <c r="A2" s="16" t="s">
        <v>9</v>
      </c>
    </row>
    <row r="3">
      <c r="A3" s="16" t="s">
        <v>24</v>
      </c>
    </row>
    <row r="4">
      <c r="A4" s="16" t="s">
        <v>16</v>
      </c>
    </row>
    <row r="5">
      <c r="A5" s="16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</v>
      </c>
      <c r="B1" s="16" t="s">
        <v>4</v>
      </c>
      <c r="C1" s="16" t="s">
        <v>34</v>
      </c>
    </row>
    <row r="2">
      <c r="A2" s="16" t="s">
        <v>9</v>
      </c>
      <c r="B2" s="16" t="s">
        <v>10</v>
      </c>
      <c r="C2" s="16" t="s">
        <v>28</v>
      </c>
    </row>
    <row r="3">
      <c r="A3" s="16" t="s">
        <v>9</v>
      </c>
      <c r="B3" s="16" t="s">
        <v>22</v>
      </c>
      <c r="C3" s="16" t="s">
        <v>11</v>
      </c>
    </row>
    <row r="4">
      <c r="A4" s="16" t="s">
        <v>9</v>
      </c>
      <c r="B4" s="16" t="s">
        <v>35</v>
      </c>
      <c r="C4" s="16" t="s">
        <v>11</v>
      </c>
    </row>
    <row r="5">
      <c r="A5" s="16" t="s">
        <v>9</v>
      </c>
      <c r="B5" s="16" t="s">
        <v>36</v>
      </c>
      <c r="C5" s="16" t="s">
        <v>15</v>
      </c>
    </row>
    <row r="6">
      <c r="A6" s="16" t="s">
        <v>16</v>
      </c>
      <c r="B6" s="16" t="s">
        <v>37</v>
      </c>
      <c r="C6" s="16" t="s">
        <v>38</v>
      </c>
    </row>
    <row r="7">
      <c r="A7" s="16" t="s">
        <v>33</v>
      </c>
      <c r="B7" s="16" t="s">
        <v>39</v>
      </c>
      <c r="C7" s="16" t="s">
        <v>38</v>
      </c>
    </row>
    <row r="8">
      <c r="A8" s="16" t="s">
        <v>24</v>
      </c>
      <c r="B8" s="16" t="s">
        <v>25</v>
      </c>
      <c r="C8" s="16" t="s">
        <v>2</v>
      </c>
    </row>
    <row r="9">
      <c r="A9" s="16" t="s">
        <v>24</v>
      </c>
      <c r="B9" s="16" t="s">
        <v>40</v>
      </c>
      <c r="C9" s="16" t="s">
        <v>2</v>
      </c>
    </row>
    <row r="10">
      <c r="A10" s="16" t="s">
        <v>24</v>
      </c>
      <c r="B10" s="16" t="s">
        <v>41</v>
      </c>
      <c r="C10" s="16" t="s">
        <v>2</v>
      </c>
    </row>
  </sheetData>
  <drawing r:id="rId1"/>
</worksheet>
</file>